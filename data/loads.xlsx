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s properties" state="visible" r:id="rId4"/>
    <sheet sheetId="2" name="Quasi-static" state="visible" r:id="rId5"/>
    <sheet sheetId="3" name="Random vibe" state="visible" r:id="rId6"/>
  </sheets>
  <definedNames>
    <definedName name="MassTable">'Mass properties'!$A$3:$C$8</definedName>
    <definedName name="LimitLoads">'Quasi-static'!$A$3:$C$6</definedName>
    <definedName name="VibeProfile">'Random vibe'!$A$3:$B$7</definedName>
  </definedNames>
  <calcPr calcId="171027"/>
</workbook>
</file>

<file path=xl/sharedStrings.xml><?xml version="1.0" encoding="utf-8"?>
<sst xmlns="http://schemas.openxmlformats.org/spreadsheetml/2006/main" count="34" uniqueCount="29">
  <si>
    <t>Mass properties</t>
  </si>
  <si>
    <t>Item</t>
  </si>
  <si>
    <t>Mass (kg)</t>
  </si>
  <si>
    <t>Note</t>
  </si>
  <si>
    <t>Avionics box</t>
  </si>
  <si>
    <t>Supplier ICD rev C</t>
  </si>
  <si>
    <t>Bracket</t>
  </si>
  <si>
    <t>3.0 mm flange (PDR action)</t>
  </si>
  <si>
    <t>Fasteners (8)</t>
  </si>
  <si>
    <t>#8-32 A286</t>
  </si>
  <si>
    <t>Harness clamp</t>
  </si>
  <si>
    <t/>
  </si>
  <si>
    <t>Total</t>
  </si>
  <si>
    <t>Quasi-static limit loads</t>
  </si>
  <si>
    <t>Axis</t>
  </si>
  <si>
    <t>Load factor (g)</t>
  </si>
  <si>
    <t>Limit force (N)</t>
  </si>
  <si>
    <t>Source</t>
  </si>
  <si>
    <t>X</t>
  </si>
  <si>
    <t>Launch vehicle user guide, table 4-2</t>
  </si>
  <si>
    <t>Y</t>
  </si>
  <si>
    <t>Z</t>
  </si>
  <si>
    <t>Protoflight random vibration input</t>
  </si>
  <si>
    <t>Frequency (Hz)</t>
  </si>
  <si>
    <t>ASD (g²/Hz)</t>
  </si>
  <si>
    <t>+6 dB/oct</t>
  </si>
  <si>
    <t>-6 dB/oct</t>
  </si>
  <si>
    <t>Overall</t>
  </si>
  <si>
    <t>grms (protoflight)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</si>
</sst>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00"/>
  </numFmts>
  <fonts count="4" x14ac:knownFonts="1">
    <font>
      <color theme="1"/>
      <family val="2"/>
      <scheme val="minor"/>
      <sz val="11"/>
      <name val="Calibri"/>
    </font>
    <font>
      <b/>
      <color rgb="FF1F5C45"/>
      <sz val="14"/>
    </font>
    <font>
      <b/>
      <color rgb="FF1F5C45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4EF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8A19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C45"/>
  </sheetPr>
  <dimension ref="A1:C8"/>
  <sheetFormatPr defaultRowHeight="15" outlineLevelRow="0" outlineLevelCol="0" x14ac:dyDescent="55"/>
  <cols>
    <col min="1" max="1" width="26" customWidth="1"/>
    <col min="2" max="2" width="12" customWidth="1"/>
    <col min="3" max="3" width="34" customWidth="1"/>
  </cols>
  <sheetData>
    <row r="1" spans="1:1" x14ac:dyDescent="0.25">
      <c r="A1" s="1" t="s">
        <v>0</v>
      </c>
    </row>
    <row r="3" spans="1:3" s="2" customFormat="1" x14ac:dyDescent="0.25">
      <c r="A3" s="3" t="s">
        <v>1</v>
      </c>
      <c r="B3" s="3" t="s">
        <v>2</v>
      </c>
      <c r="C3" s="3" t="s">
        <v>3</v>
      </c>
    </row>
    <row r="4" spans="1:3" x14ac:dyDescent="0.25">
      <c r="A4" t="s">
        <v>4</v>
      </c>
      <c r="B4" s="4">
        <v>1.62</v>
      </c>
      <c r="C4" t="s">
        <v>5</v>
      </c>
    </row>
    <row r="5" spans="1:3" x14ac:dyDescent="0.25">
      <c r="A5" t="s">
        <v>6</v>
      </c>
      <c r="B5" s="4">
        <v>0.19</v>
      </c>
      <c r="C5" t="s">
        <v>7</v>
      </c>
    </row>
    <row r="6" spans="1:3" x14ac:dyDescent="0.25">
      <c r="A6" t="s">
        <v>8</v>
      </c>
      <c r="B6" s="4">
        <v>0.02</v>
      </c>
      <c r="C6" t="s">
        <v>9</v>
      </c>
    </row>
    <row r="7" spans="1:3" x14ac:dyDescent="0.25">
      <c r="A7" t="s">
        <v>10</v>
      </c>
      <c r="B7" s="4">
        <v>0.08</v>
      </c>
      <c r="C7" t="s">
        <v>11</v>
      </c>
    </row>
    <row r="8" spans="1:2" x14ac:dyDescent="0.25">
      <c r="A8" s="5" t="s">
        <v>12</v>
      </c>
      <c r="B8" s="6">
        <f>SUM(B4:B7)</f>
        <v>1.9100000000000001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D6"/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30" customWidth="1"/>
  </cols>
  <sheetData>
    <row r="1" spans="1:1" x14ac:dyDescent="0.25">
      <c r="A1" s="1" t="s">
        <v>13</v>
      </c>
    </row>
    <row r="3" spans="1:4" s="2" customFormat="1" x14ac:dyDescent="0.25">
      <c r="A3" s="3" t="s">
        <v>14</v>
      </c>
      <c r="B3" s="3" t="s">
        <v>15</v>
      </c>
      <c r="C3" s="3" t="s">
        <v>16</v>
      </c>
      <c r="D3" s="3" t="s">
        <v>17</v>
      </c>
    </row>
    <row r="4" spans="1:4" x14ac:dyDescent="0.25">
      <c r="A4" t="s">
        <v>18</v>
      </c>
      <c r="B4">
        <v>12</v>
      </c>
      <c r="C4" s="7">
        <f>'Mass properties'!B8*9.80665*B4</f>
        <v>224.768418</v>
      </c>
      <c r="D4" t="s">
        <v>19</v>
      </c>
    </row>
    <row r="5" spans="1:4" x14ac:dyDescent="0.25">
      <c r="A5" t="s">
        <v>20</v>
      </c>
      <c r="B5">
        <v>12</v>
      </c>
      <c r="C5" s="7">
        <f>'Mass properties'!B8*9.80665*B5</f>
        <v>224.768418</v>
      </c>
      <c r="D5" t="s">
        <v>19</v>
      </c>
    </row>
    <row r="6" spans="1:4" x14ac:dyDescent="0.25">
      <c r="A6" t="s">
        <v>21</v>
      </c>
      <c r="B6">
        <v>18</v>
      </c>
      <c r="C6" s="7">
        <f>'Mass properties'!B8*9.80665*B6</f>
        <v>337.152627</v>
      </c>
      <c r="D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2" width="16" customWidth="1"/>
    <col min="3" max="3" width="34" customWidth="1"/>
  </cols>
  <sheetData>
    <row r="1" spans="1:1" x14ac:dyDescent="0.25">
      <c r="A1" s="1" t="s">
        <v>22</v>
      </c>
    </row>
    <row r="3" spans="1:3" s="2" customFormat="1" x14ac:dyDescent="0.25">
      <c r="A3" s="3" t="s">
        <v>23</v>
      </c>
      <c r="B3" s="3" t="s">
        <v>24</v>
      </c>
      <c r="C3" s="3" t="s">
        <v>3</v>
      </c>
    </row>
    <row r="4" spans="1:3" x14ac:dyDescent="0.25">
      <c r="A4">
        <v>20</v>
      </c>
      <c r="B4" s="8">
        <v>0.026</v>
      </c>
      <c r="C4" t="s">
        <v>25</v>
      </c>
    </row>
    <row r="5" spans="1:3" x14ac:dyDescent="0.25">
      <c r="A5">
        <v>50</v>
      </c>
      <c r="B5" s="8">
        <v>0.16</v>
      </c>
      <c r="C5" t="s">
        <v>11</v>
      </c>
    </row>
    <row r="6" spans="1:3" x14ac:dyDescent="0.25">
      <c r="A6">
        <v>800</v>
      </c>
      <c r="B6" s="8">
        <v>0.16</v>
      </c>
      <c r="C6" t="s">
        <v>11</v>
      </c>
    </row>
    <row r="7" spans="1:3" x14ac:dyDescent="0.25">
      <c r="A7">
        <v>2000</v>
      </c>
      <c r="B7" s="8">
        <v>0.026</v>
      </c>
      <c r="C7" t="s">
        <v>26</v>
      </c>
    </row>
    <row r="9" spans="1:3" x14ac:dyDescent="0.25">
      <c r="A9" s="5" t="s">
        <v>27</v>
      </c>
      <c r="B9">
        <v>14.1</v>
      </c>
      <c r="C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 properties</vt:lpstr>
      <vt:lpstr>Quasi-static</vt:lpstr>
      <vt:lpstr>Random vibe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2026-10-25T18:08:29Z</dcterms:created>
  <dcterms:modified xsi:type="dcterms:W3CDTF">2026-10-25T18:08:29Z</dcterms:modified>
</cp:coreProperties>
</file>